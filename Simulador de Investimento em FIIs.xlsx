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e948520d90291d/Área de Trabalho/Estudos - Dados/Reclame AQUI - Dados e IA na Prática/Projetos/"/>
    </mc:Choice>
  </mc:AlternateContent>
  <xr:revisionPtr revIDLastSave="0" documentId="8_{1136BCAC-26E4-4643-AD09-12E39554BE08}" xr6:coauthVersionLast="47" xr6:coauthVersionMax="47" xr10:uidLastSave="{00000000-0000-0000-0000-000000000000}"/>
  <bookViews>
    <workbookView xWindow="28680" yWindow="-120" windowWidth="21840" windowHeight="13020" tabRatio="0" xr2:uid="{53CF8309-7B19-4DC9-A9CA-3929057EFEE7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37" i="1"/>
  <c r="C38" i="1"/>
  <c r="C39" i="1"/>
  <c r="C40" i="1"/>
  <c r="C41" i="1"/>
  <c r="C36" i="1"/>
  <c r="H4" i="2"/>
  <c r="A10" i="2"/>
  <c r="A9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8" i="1" l="1"/>
  <c r="D37" i="1"/>
  <c r="D39" i="1"/>
  <c r="D36" i="1"/>
  <c r="D41" i="1"/>
  <c r="D40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<sst xmlns="http://schemas.openxmlformats.org/spreadsheetml/2006/main" count="71" uniqueCount="34">
  <si>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</si>
  <si>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</si>
  <si>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INVESTIMENTO MENSAL</t>
  </si>
  <si>
    <t>Taxa de Rendimento Mensal?</t>
  </si>
  <si>
    <t>Patrimônio acumulado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</si>
  <si>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</si>
  <si>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</si>
  <si>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</si>
  <si>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</si>
  <si>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</si>
  <si>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</si>
  <si>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</si>
  <si>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Rendimento Carteira</t>
  </si>
  <si>
    <t>Salário</t>
  </si>
  <si>
    <t>CONFIGURAÇÕES</t>
  </si>
  <si>
    <t>CENÁRIOS</t>
  </si>
  <si>
    <t>Agressivo</t>
  </si>
  <si>
    <t>Conservador</t>
  </si>
  <si>
    <t>Valor a ser investido por mês</t>
  </si>
  <si>
    <t>PERFIL</t>
  </si>
  <si>
    <t>Percentual Sugerido</t>
  </si>
  <si>
    <t>Valores</t>
  </si>
  <si>
    <t>Papel</t>
  </si>
  <si>
    <t>Tijolo</t>
  </si>
  <si>
    <t>TIPO DE FII</t>
  </si>
  <si>
    <t>Híbridos</t>
  </si>
  <si>
    <t>FOFs</t>
  </si>
  <si>
    <t>Desenvolvimento</t>
  </si>
  <si>
    <t>Hotelarias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</si>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</sst>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%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7" fillId="5" borderId="2" xfId="0" applyFont="1" applyFill="1" applyBorder="1" applyAlignment="1">
      <alignment horizontal="left" indent="3"/>
    </xf>
    <xf numFmtId="0" fontId="7" fillId="5" borderId="5" xfId="0" applyFont="1" applyFill="1" applyBorder="1" applyAlignment="1">
      <alignment horizontal="left" indent="3"/>
    </xf>
    <xf numFmtId="0" fontId="5" fillId="4" borderId="10" xfId="0" applyFont="1" applyFill="1" applyBorder="1" applyAlignment="1">
      <alignment horizontal="center" vertical="center"/>
    </xf>
    <xf numFmtId="0" fontId="1" fillId="2" borderId="0" xfId="1"/>
    <xf numFmtId="0" fontId="7" fillId="5" borderId="0" xfId="0" applyFont="1" applyFill="1"/>
    <xf numFmtId="165" fontId="7" fillId="5" borderId="6" xfId="0" applyNumberFormat="1" applyFont="1" applyFill="1" applyBorder="1" applyAlignment="1">
      <alignment horizontal="center"/>
    </xf>
    <xf numFmtId="165" fontId="7" fillId="5" borderId="3" xfId="0" applyNumberFormat="1" applyFont="1" applyFill="1" applyBorder="1" applyAlignment="1">
      <alignment horizontal="center"/>
    </xf>
    <xf numFmtId="8" fontId="8" fillId="5" borderId="7" xfId="0" applyNumberFormat="1" applyFont="1" applyFill="1" applyBorder="1" applyAlignment="1">
      <alignment horizontal="center"/>
    </xf>
    <xf numFmtId="8" fontId="8" fillId="5" borderId="4" xfId="0" applyNumberFormat="1" applyFont="1" applyFill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0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5" fontId="7" fillId="5" borderId="4" xfId="0" applyNumberFormat="1" applyFont="1" applyFill="1" applyBorder="1" applyAlignment="1">
      <alignment horizontal="center"/>
    </xf>
    <xf numFmtId="165" fontId="7" fillId="5" borderId="7" xfId="0" applyNumberFormat="1" applyFont="1" applyFill="1" applyBorder="1" applyAlignment="1">
      <alignment horizontal="center"/>
    </xf>
    <xf numFmtId="165" fontId="0" fillId="0" borderId="0" xfId="0" applyNumberFormat="1"/>
    <xf numFmtId="0" fontId="0" fillId="6" borderId="0" xfId="0" applyFill="1"/>
    <xf numFmtId="165" fontId="0" fillId="6" borderId="0" xfId="0" applyNumberFormat="1" applyFill="1"/>
    <xf numFmtId="0" fontId="2" fillId="6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9" fontId="1" fillId="2" borderId="0" xfId="1" applyNumberFormat="1"/>
    <xf numFmtId="165" fontId="8" fillId="5" borderId="0" xfId="0" applyNumberFormat="1" applyFont="1" applyFill="1" applyAlignment="1">
      <alignment horizontal="center"/>
    </xf>
    <xf numFmtId="0" fontId="1" fillId="2" borderId="0" xfId="1" applyAlignment="1">
      <alignment horizontal="center"/>
    </xf>
    <xf numFmtId="0" fontId="8" fillId="5" borderId="5" xfId="0" applyFont="1" applyFill="1" applyBorder="1" applyAlignment="1">
      <alignment horizontal="left" indent="3"/>
    </xf>
    <xf numFmtId="0" fontId="8" fillId="5" borderId="6" xfId="0" applyFont="1" applyFill="1" applyBorder="1" applyAlignment="1">
      <alignment horizontal="left" indent="3"/>
    </xf>
    <xf numFmtId="0" fontId="7" fillId="5" borderId="2" xfId="0" applyFont="1" applyFill="1" applyBorder="1" applyAlignment="1">
      <alignment horizontal="left" indent="3"/>
    </xf>
    <xf numFmtId="0" fontId="7" fillId="5" borderId="3" xfId="0" applyFont="1" applyFill="1" applyBorder="1" applyAlignment="1">
      <alignment horizontal="left" indent="3"/>
    </xf>
    <xf numFmtId="0" fontId="7" fillId="5" borderId="5" xfId="0" applyFont="1" applyFill="1" applyBorder="1" applyAlignment="1">
      <alignment horizontal="left" indent="3"/>
    </xf>
    <xf numFmtId="0" fontId="7" fillId="5" borderId="6" xfId="0" applyFont="1" applyFill="1" applyBorder="1" applyAlignment="1">
      <alignment horizontal="left" indent="3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indent="3"/>
    </xf>
    <xf numFmtId="0" fontId="7" fillId="0" borderId="3" xfId="0" applyFont="1" applyBorder="1" applyAlignment="1">
      <alignment horizontal="left" indent="3"/>
    </xf>
    <xf numFmtId="0" fontId="8" fillId="5" borderId="2" xfId="0" applyFont="1" applyFill="1" applyBorder="1" applyAlignment="1">
      <alignment horizontal="left" indent="3"/>
    </xf>
    <xf numFmtId="0" fontId="8" fillId="5" borderId="3" xfId="0" applyFont="1" applyFill="1" applyBorder="1" applyAlignment="1">
      <alignment horizontal="left" indent="3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55-43EF-A19C-96D1355BBD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55-43EF-A19C-96D1355BBD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55-43EF-A19C-96D1355BBD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55-43EF-A19C-96D1355BBD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55-43EF-A19C-96D1355BBD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55-43EF-A19C-96D1355BBD87}"/>
              </c:ext>
            </c:extLst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4-443B-A2DA-B51F4FED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476249</xdr:colOff>
      <xdr:row>0</xdr:row>
      <xdr:rowOff>57149</xdr:rowOff>
    </xdr:from>
    <xdr:to>
      <xdr:col>4</xdr:col>
      <xdr:colOff>152400</xdr:colOff>
      <xdr:row>9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461E41-DDF9-931B-34C0-BC2F658690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55" b="10519"/>
        <a:stretch>
          <a:fillRect/>
        </a:stretch>
      </xdr:blipFill>
      <xdr:spPr bwMode="auto">
        <a:xfrm>
          <a:off x="476249" y="57149"/>
          <a:ext cx="5695951" cy="1685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28575</xdr:colOff>
      <xdr:row>44</xdr:row>
      <xdr:rowOff>100012</xdr:rowOff>
    </xdr:from>
    <xdr:to>
      <xdr:col>4</xdr:col>
      <xdr:colOff>180974</xdr:colOff>
      <xdr:row>58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354E6A-1E4B-379B-B8CA-0340AC642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DF7D-08AD-43BB-A1E0-B8CA0DEB8776}">
  <dimension ref="A10:I68"/>
  <sheetViews>
    <sheetView showGridLines="0" showRowColHeaders="0" tabSelected="1" topLeftCell="A7" zoomScaleNormal="100" workbookViewId="0">
      <selection activeCell="C32" sqref="C32:D32"/>
    </sheetView>
  </sheetViews>
  <sheetFormatPr defaultColWidth="0" defaultRowHeight="15" x14ac:dyDescent="0.25"/>
  <cols>
    <col min="1" max="1" width="9.140625" customWidth="1"/>
    <col min="2" max="2" width="45.85546875" customWidth="1"/>
    <col min="3" max="3" width="19.140625" bestFit="1" customWidth="1"/>
    <col min="4" max="4" width="16.140625" customWidth="1"/>
    <col min="5" max="5" width="3.28515625" customWidth="1"/>
    <col min="6" max="6" width="3.85546875" customWidth="1"/>
    <col min="7" max="7" width="3" customWidth="1"/>
    <col min="8" max="8" width="3.5703125" customWidth="1"/>
    <col min="9" max="9" width="4.140625" hidden="1" customWidth="1"/>
    <col min="10" max="11" width="9.140625" hidden="1" customWidth="1"/>
    <col min="12" max="16384" width="9.140625" hidden="1"/>
  </cols>
  <sheetData>
    <row r="10" spans="2:4" ht="15.75" thickBot="1" x14ac:dyDescent="0.3"/>
    <row r="11" spans="2:4" ht="24" thickBot="1" x14ac:dyDescent="0.3">
      <c r="B11" s="43" t="s">
        <v>14</v>
      </c>
      <c r="C11" s="44"/>
      <c r="D11" s="45"/>
    </row>
    <row r="12" spans="2:4" ht="16.5" thickBot="1" x14ac:dyDescent="0.3">
      <c r="B12" s="36" t="s">
        <v>13</v>
      </c>
      <c r="C12" s="37"/>
      <c r="D12" s="19">
        <v>5000</v>
      </c>
    </row>
    <row r="13" spans="2:4" ht="16.5" thickBot="1" x14ac:dyDescent="0.3">
      <c r="B13" s="36" t="s">
        <v>12</v>
      </c>
      <c r="C13" s="37"/>
      <c r="D13" s="18">
        <v>6.0000000000000001E-3</v>
      </c>
    </row>
    <row r="14" spans="2:4" ht="16.5" thickBot="1" x14ac:dyDescent="0.3">
      <c r="B14" s="38" t="s">
        <v>33</v>
      </c>
      <c r="C14" s="39"/>
      <c r="D14" s="17">
        <f>D12*30%</f>
        <v>1500</v>
      </c>
    </row>
    <row r="15" spans="2:4" ht="15.75" thickBot="1" x14ac:dyDescent="0.3"/>
    <row r="16" spans="2:4" ht="24.75" customHeight="1" thickBot="1" x14ac:dyDescent="0.3">
      <c r="B16" s="40" t="s">
        <v>2</v>
      </c>
      <c r="C16" s="41"/>
      <c r="D16" s="42"/>
    </row>
    <row r="17" spans="1:4" ht="17.25" customHeight="1" thickBot="1" x14ac:dyDescent="0.3">
      <c r="B17" s="46" t="s">
        <v>0</v>
      </c>
      <c r="C17" s="47"/>
      <c r="D17" s="16">
        <v>1500</v>
      </c>
    </row>
    <row r="18" spans="1:4" ht="17.25" customHeight="1" thickBot="1" x14ac:dyDescent="0.3">
      <c r="B18" s="46" t="s">
        <v>1</v>
      </c>
      <c r="C18" s="47"/>
      <c r="D18" s="15">
        <v>10</v>
      </c>
    </row>
    <row r="19" spans="1:4" ht="17.25" customHeight="1" thickBot="1" x14ac:dyDescent="0.3">
      <c r="B19" s="46" t="s">
        <v>3</v>
      </c>
      <c r="C19" s="47"/>
      <c r="D19" s="14">
        <v>1.0789999999999999E-2</v>
      </c>
    </row>
    <row r="20" spans="1:4" ht="17.25" customHeight="1" thickBot="1" x14ac:dyDescent="0.3">
      <c r="B20" s="48" t="s">
        <v>4</v>
      </c>
      <c r="C20" s="49"/>
      <c r="D20" s="13">
        <f>FV(taxa_mensal,qtd_anos*12,aporte*-1)</f>
        <v>364926.3187952583</v>
      </c>
    </row>
    <row r="21" spans="1:4" ht="18" customHeight="1" thickBot="1" x14ac:dyDescent="0.3">
      <c r="B21" s="34" t="s">
        <v>5</v>
      </c>
      <c r="C21" s="35"/>
      <c r="D21" s="12">
        <f>patrimonio*rendimento_carteira</f>
        <v>2189.55791277155</v>
      </c>
    </row>
    <row r="22" spans="1:4" ht="15.75" thickBot="1" x14ac:dyDescent="0.3"/>
    <row r="23" spans="1:4" ht="24.75" customHeight="1" thickBot="1" x14ac:dyDescent="0.3">
      <c r="B23" s="40" t="s">
        <v>15</v>
      </c>
      <c r="C23" s="41"/>
      <c r="D23" s="7" t="s">
        <v>11</v>
      </c>
    </row>
    <row r="24" spans="1:4" ht="16.5" thickBot="1" x14ac:dyDescent="0.3">
      <c r="A24" s="1">
        <v>2</v>
      </c>
      <c r="B24" s="5" t="s">
        <v>6</v>
      </c>
      <c r="C24" s="11">
        <f>FV($D$19,$A24*12,$D$17*-1)</f>
        <v>40841.440946467825</v>
      </c>
      <c r="D24" s="20">
        <f>C24*rendimento_carteira</f>
        <v>245.04864567880696</v>
      </c>
    </row>
    <row r="25" spans="1:4" ht="16.5" thickBot="1" x14ac:dyDescent="0.3">
      <c r="A25" s="1">
        <v>5</v>
      </c>
      <c r="B25" s="5" t="s">
        <v>7</v>
      </c>
      <c r="C25" s="11">
        <f>FV($D$19,$A25*12,$D$17*-1)</f>
        <v>125665.37099773147</v>
      </c>
      <c r="D25" s="20">
        <f>C25*rendimento_carteira</f>
        <v>753.9922259863888</v>
      </c>
    </row>
    <row r="26" spans="1:4" ht="16.5" thickBot="1" x14ac:dyDescent="0.3">
      <c r="A26" s="1">
        <v>10</v>
      </c>
      <c r="B26" s="5" t="s">
        <v>8</v>
      </c>
      <c r="C26" s="11">
        <f>FV($D$19,$A26*12,$D$17*-1)</f>
        <v>364926.3187952583</v>
      </c>
      <c r="D26" s="20">
        <f>C26*rendimento_carteira</f>
        <v>2189.55791277155</v>
      </c>
    </row>
    <row r="27" spans="1:4" ht="16.5" thickBot="1" x14ac:dyDescent="0.3">
      <c r="A27" s="1">
        <v>20</v>
      </c>
      <c r="B27" s="5" t="s">
        <v>9</v>
      </c>
      <c r="C27" s="11">
        <f>FV($D$19,$A27*12,$D$17*-1)</f>
        <v>1687797.600145621</v>
      </c>
      <c r="D27" s="20">
        <f>C27*rendimento_carteira</f>
        <v>10126.785600873725</v>
      </c>
    </row>
    <row r="28" spans="1:4" ht="16.5" thickBot="1" x14ac:dyDescent="0.3">
      <c r="A28" s="1">
        <v>30</v>
      </c>
      <c r="B28" s="6" t="s">
        <v>10</v>
      </c>
      <c r="C28" s="10">
        <f>FV($D$19,$A28*12,$D$17*-1)</f>
        <v>6483254.4825070715</v>
      </c>
      <c r="D28" s="21">
        <f>C28*rendimento_carteira</f>
        <v>38899.526895042429</v>
      </c>
    </row>
    <row r="32" spans="1:4" x14ac:dyDescent="0.25">
      <c r="B32" s="8" t="s">
        <v>19</v>
      </c>
      <c r="C32" s="33" t="s">
        <v>17</v>
      </c>
      <c r="D32" s="33"/>
    </row>
    <row r="33" spans="2:4" ht="15.75" x14ac:dyDescent="0.25">
      <c r="B33" s="9" t="s">
        <v>18</v>
      </c>
      <c r="C33" s="32">
        <f>aporte</f>
        <v>1500</v>
      </c>
      <c r="D33" s="32"/>
    </row>
    <row r="35" spans="2:4" x14ac:dyDescent="0.25">
      <c r="B35" s="25" t="s">
        <v>24</v>
      </c>
      <c r="C35" s="25" t="s">
        <v>20</v>
      </c>
      <c r="D35" s="25" t="s">
        <v>21</v>
      </c>
    </row>
    <row r="36" spans="2:4" x14ac:dyDescent="0.25">
      <c r="B36" s="2" t="s">
        <v>22</v>
      </c>
      <c r="C36" s="3">
        <f>VLOOKUP($C$32&amp;"-"&amp;B36,Planilha2!$A:$D,4,FALSE)</f>
        <v>0.3</v>
      </c>
      <c r="D36" s="22">
        <f>C36*$C$33</f>
        <v>450</v>
      </c>
    </row>
    <row r="37" spans="2:4" x14ac:dyDescent="0.25">
      <c r="B37" s="2" t="s">
        <v>23</v>
      </c>
      <c r="C37" s="3">
        <f>VLOOKUP($C$32&amp;"-"&amp;B37,Planilha2!$A:$D,4,FALSE)</f>
        <v>0.5</v>
      </c>
      <c r="D37" s="22">
        <f t="shared" ref="D37:D41" si="0">C37*$C$33</f>
        <v>750</v>
      </c>
    </row>
    <row r="38" spans="2:4" x14ac:dyDescent="0.25">
      <c r="B38" s="2" t="s">
        <v>25</v>
      </c>
      <c r="C38" s="3">
        <f>VLOOKUP($C$32&amp;"-"&amp;B38,Planilha2!$A:$D,4,FALSE)</f>
        <v>0.1</v>
      </c>
      <c r="D38" s="22">
        <f t="shared" si="0"/>
        <v>150</v>
      </c>
    </row>
    <row r="39" spans="2:4" x14ac:dyDescent="0.25">
      <c r="B39" s="2" t="s">
        <v>26</v>
      </c>
      <c r="C39" s="3">
        <f>VLOOKUP($C$32&amp;"-"&amp;B39,Planilha2!$A:$D,4,FALSE)</f>
        <v>0.1</v>
      </c>
      <c r="D39" s="22">
        <f t="shared" si="0"/>
        <v>150</v>
      </c>
    </row>
    <row r="40" spans="2:4" x14ac:dyDescent="0.25">
      <c r="B40" s="2" t="s">
        <v>27</v>
      </c>
      <c r="C40" s="3">
        <f>VLOOKUP($C$32&amp;"-"&amp;B40,Planilha2!$A:$D,4,FALSE)</f>
        <v>0</v>
      </c>
      <c r="D40" s="22">
        <f t="shared" si="0"/>
        <v>0</v>
      </c>
    </row>
    <row r="41" spans="2:4" x14ac:dyDescent="0.25">
      <c r="B41" s="2" t="s">
        <v>28</v>
      </c>
      <c r="C41" s="3">
        <f>VLOOKUP($C$32&amp;"-"&amp;B41,Planilha2!$A:$D,4,FALSE)</f>
        <v>0</v>
      </c>
      <c r="D41" s="22">
        <f t="shared" si="0"/>
        <v>0</v>
      </c>
    </row>
    <row r="42" spans="2:4" x14ac:dyDescent="0.25">
      <c r="B42" s="23"/>
      <c r="C42" s="23"/>
      <c r="D42" s="24">
        <f>SUM(D36:D41)</f>
        <v>1500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mergeCells count="13">
    <mergeCell ref="B11:D11"/>
    <mergeCell ref="B23:C23"/>
    <mergeCell ref="B17:C17"/>
    <mergeCell ref="B18:C18"/>
    <mergeCell ref="B19:C19"/>
    <mergeCell ref="B20:C20"/>
    <mergeCell ref="C33:D33"/>
    <mergeCell ref="C32:D32"/>
    <mergeCell ref="B21:C21"/>
    <mergeCell ref="B12:C12"/>
    <mergeCell ref="B13:C13"/>
    <mergeCell ref="B14:C14"/>
    <mergeCell ref="B16:D16"/>
  </mergeCells>
  <dataValidations count="1">
    <dataValidation type="list" allowBlank="1" showInputMessage="1" showErrorMessage="1" sqref="C32" xr:uid="{33A6D5A8-F5B6-4F80-AE1B-0BC1E22D45C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0694-C782-43B3-B6A6-515267F475C5}">
  <dimension ref="A2:H20"/>
  <sheetViews>
    <sheetView workbookViewId="0">
      <selection activeCell="D12" sqref="D12"/>
    </sheetView>
  </sheetViews>
  <sheetFormatPr defaultRowHeight="15" x14ac:dyDescent="0.25"/>
  <cols>
    <col min="1" max="1" width="29.140625" bestFit="1" customWidth="1"/>
    <col min="2" max="2" width="12.140625" bestFit="1" customWidth="1"/>
    <col min="3" max="3" width="16.85546875" bestFit="1" customWidth="1"/>
    <col min="4" max="4" width="9.140625" style="2"/>
    <col min="7" max="7" width="16" bestFit="1" customWidth="1"/>
    <col min="8" max="8" width="9.140625" style="29"/>
  </cols>
  <sheetData>
    <row r="2" spans="1:8" x14ac:dyDescent="0.25">
      <c r="A2" t="s">
        <v>30</v>
      </c>
      <c r="B2" s="2" t="s">
        <v>19</v>
      </c>
      <c r="C2" s="2" t="s">
        <v>24</v>
      </c>
      <c r="D2" s="2" t="s">
        <v>29</v>
      </c>
    </row>
    <row r="3" spans="1:8" x14ac:dyDescent="0.25">
      <c r="A3" t="str">
        <f>B3&amp;"-"&amp;C3</f>
        <v>Conservador-Papel</v>
      </c>
      <c r="B3" s="2" t="s">
        <v>17</v>
      </c>
      <c r="C3" s="2" t="s">
        <v>22</v>
      </c>
      <c r="D3" s="4">
        <v>0.3</v>
      </c>
      <c r="H3" s="30" t="s">
        <v>29</v>
      </c>
    </row>
    <row r="4" spans="1:8" x14ac:dyDescent="0.25">
      <c r="A4" t="str">
        <f t="shared" ref="A4:A20" si="0">B4&amp;"-"&amp;C4</f>
        <v>Conservador-Tijolo</v>
      </c>
      <c r="B4" s="2" t="s">
        <v>17</v>
      </c>
      <c r="C4" s="2" t="s">
        <v>23</v>
      </c>
      <c r="D4" s="4">
        <v>0.5</v>
      </c>
      <c r="G4" s="8" t="s">
        <v>32</v>
      </c>
      <c r="H4" s="31">
        <f>VLOOKUP(G4,$A:$D,4,FALSE)</f>
        <v>0.35</v>
      </c>
    </row>
    <row r="5" spans="1:8" x14ac:dyDescent="0.25">
      <c r="A5" t="str">
        <f t="shared" si="0"/>
        <v>Conservador-Híbridos</v>
      </c>
      <c r="B5" s="2" t="s">
        <v>17</v>
      </c>
      <c r="C5" s="2" t="s">
        <v>25</v>
      </c>
      <c r="D5" s="4">
        <v>0.1</v>
      </c>
    </row>
    <row r="6" spans="1:8" x14ac:dyDescent="0.25">
      <c r="A6" t="str">
        <f t="shared" si="0"/>
        <v>Conservador-FOFs</v>
      </c>
      <c r="B6" s="2" t="s">
        <v>17</v>
      </c>
      <c r="C6" s="2" t="s">
        <v>26</v>
      </c>
      <c r="D6" s="4">
        <v>0.1</v>
      </c>
    </row>
    <row r="7" spans="1:8" x14ac:dyDescent="0.25">
      <c r="A7" t="str">
        <f t="shared" si="0"/>
        <v>Conservador-Desenvolvimento</v>
      </c>
      <c r="B7" s="2" t="s">
        <v>17</v>
      </c>
      <c r="C7" s="2" t="s">
        <v>27</v>
      </c>
      <c r="D7" s="4">
        <v>0</v>
      </c>
    </row>
    <row r="8" spans="1:8" ht="15.75" thickBot="1" x14ac:dyDescent="0.3">
      <c r="A8" s="26" t="str">
        <f t="shared" si="0"/>
        <v>Conservador-Hotelarias</v>
      </c>
      <c r="B8" s="27" t="s">
        <v>17</v>
      </c>
      <c r="C8" s="27" t="s">
        <v>28</v>
      </c>
      <c r="D8" s="28">
        <v>0</v>
      </c>
    </row>
    <row r="9" spans="1:8" x14ac:dyDescent="0.25">
      <c r="A9" t="str">
        <f t="shared" si="0"/>
        <v>Moderado-Papel</v>
      </c>
      <c r="B9" s="2" t="s">
        <v>31</v>
      </c>
      <c r="C9" s="2" t="s">
        <v>22</v>
      </c>
      <c r="D9" s="4">
        <v>0.32</v>
      </c>
    </row>
    <row r="10" spans="1:8" x14ac:dyDescent="0.25">
      <c r="A10" t="str">
        <f>B10&amp;"-"&amp;C10</f>
        <v>Moderado-Tijolo</v>
      </c>
      <c r="B10" s="2" t="s">
        <v>31</v>
      </c>
      <c r="C10" s="2" t="s">
        <v>23</v>
      </c>
      <c r="D10" s="4">
        <v>0.35</v>
      </c>
    </row>
    <row r="11" spans="1:8" x14ac:dyDescent="0.25">
      <c r="A11" t="str">
        <f t="shared" si="0"/>
        <v>Moderado-Híbridos</v>
      </c>
      <c r="B11" s="2" t="s">
        <v>31</v>
      </c>
      <c r="C11" s="2" t="s">
        <v>25</v>
      </c>
      <c r="D11" s="4">
        <v>0.08</v>
      </c>
    </row>
    <row r="12" spans="1:8" x14ac:dyDescent="0.25">
      <c r="A12" t="str">
        <f t="shared" si="0"/>
        <v>Moderado-FOFs</v>
      </c>
      <c r="B12" s="2" t="s">
        <v>31</v>
      </c>
      <c r="C12" s="2" t="s">
        <v>26</v>
      </c>
      <c r="D12" s="4">
        <v>0.05</v>
      </c>
    </row>
    <row r="13" spans="1:8" x14ac:dyDescent="0.25">
      <c r="A13" t="str">
        <f t="shared" si="0"/>
        <v>Moderado-Desenvolvimento</v>
      </c>
      <c r="B13" s="2" t="s">
        <v>31</v>
      </c>
      <c r="C13" s="2" t="s">
        <v>27</v>
      </c>
      <c r="D13" s="4">
        <v>0.1</v>
      </c>
    </row>
    <row r="14" spans="1:8" ht="15.75" thickBot="1" x14ac:dyDescent="0.3">
      <c r="A14" s="26" t="str">
        <f t="shared" si="0"/>
        <v>Moderado-Hotelarias</v>
      </c>
      <c r="B14" s="27" t="s">
        <v>31</v>
      </c>
      <c r="C14" s="27" t="s">
        <v>28</v>
      </c>
      <c r="D14" s="28">
        <v>0.1</v>
      </c>
    </row>
    <row r="15" spans="1:8" x14ac:dyDescent="0.25">
      <c r="A15" t="str">
        <f t="shared" si="0"/>
        <v>Agressivo-Papel</v>
      </c>
      <c r="B15" s="2" t="s">
        <v>16</v>
      </c>
      <c r="C15" s="2" t="s">
        <v>22</v>
      </c>
      <c r="D15" s="4">
        <v>0.5</v>
      </c>
    </row>
    <row r="16" spans="1:8" x14ac:dyDescent="0.25">
      <c r="A16" t="str">
        <f t="shared" si="0"/>
        <v>Agressivo-Tijolo</v>
      </c>
      <c r="B16" s="2" t="s">
        <v>16</v>
      </c>
      <c r="C16" s="2" t="s">
        <v>23</v>
      </c>
      <c r="D16" s="4">
        <v>0.1</v>
      </c>
    </row>
    <row r="17" spans="1:4" x14ac:dyDescent="0.25">
      <c r="A17" t="str">
        <f t="shared" si="0"/>
        <v>Agressivo-Híbridos</v>
      </c>
      <c r="B17" s="2" t="s">
        <v>16</v>
      </c>
      <c r="C17" s="2" t="s">
        <v>25</v>
      </c>
      <c r="D17" s="4">
        <v>0.05</v>
      </c>
    </row>
    <row r="18" spans="1:4" x14ac:dyDescent="0.25">
      <c r="A18" t="str">
        <f t="shared" si="0"/>
        <v>Agressivo-FOFs</v>
      </c>
      <c r="B18" s="2" t="s">
        <v>16</v>
      </c>
      <c r="C18" s="2" t="s">
        <v>26</v>
      </c>
      <c r="D18" s="4">
        <v>0.05</v>
      </c>
    </row>
    <row r="19" spans="1:4" x14ac:dyDescent="0.25">
      <c r="A19" t="str">
        <f t="shared" si="0"/>
        <v>Agressivo-Desenvolvimento</v>
      </c>
      <c r="B19" s="2" t="s">
        <v>16</v>
      </c>
      <c r="C19" s="2" t="s">
        <v>27</v>
      </c>
      <c r="D19" s="4">
        <v>0.2</v>
      </c>
    </row>
    <row r="20" spans="1:4" x14ac:dyDescent="0.25">
      <c r="A20" t="str">
        <f t="shared" si="0"/>
        <v>Agressivo-Hotelarias</v>
      </c>
      <c r="B20" s="2" t="s">
        <v>16</v>
      </c>
      <c r="C20" s="2" t="s">
        <v>28</v>
      </c>
      <c r="D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Shinzato</dc:creator>
  <cp:lastModifiedBy>Leonardo Shinzato</cp:lastModifiedBy>
  <dcterms:created xsi:type="dcterms:W3CDTF">2026-09-29T15:34:49Z</dcterms:created>
  <dcterms:modified xsi:type="dcterms:W3CDTF">2026-09-29T19:10:37Z</dcterms:modified>
</cp:coreProperties>
</file>